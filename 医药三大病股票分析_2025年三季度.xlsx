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zengxiaochi/PycharmProjects/A_stock/"/>
    </mc:Choice>
  </mc:AlternateContent>
  <xr:revisionPtr revIDLastSave="0" documentId="13_ncr:1_{1C968C86-2DAF-4648-B1AA-0E017C8EECBE}" xr6:coauthVersionLast="47" xr6:coauthVersionMax="47" xr10:uidLastSave="{00000000-0000-0000-0000-000000000000}"/>
  <bookViews>
    <workbookView xWindow="0" yWindow="760" windowWidth="30240" windowHeight="17400" activeTab="1" xr2:uid="{00000000-000D-0000-FFFF-FFFF00000000}"/>
  </bookViews>
  <sheets>
    <sheet name="年化收益率≥15%股票" sheetId="1" r:id="rId1"/>
    <sheet name="全部分析股票" sheetId="2" r:id="rId2"/>
    <sheet name="高收益股票统计摘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</calcChain>
</file>

<file path=xl/sharedStrings.xml><?xml version="1.0" encoding="utf-8"?>
<sst xmlns="http://schemas.openxmlformats.org/spreadsheetml/2006/main" count="234" uniqueCount="137">
  <si>
    <t>股票代码</t>
  </si>
  <si>
    <t>股票名称</t>
  </si>
  <si>
    <t>起始日期</t>
  </si>
  <si>
    <t>结束日期</t>
  </si>
  <si>
    <t>年数</t>
  </si>
  <si>
    <t>起始价格</t>
  </si>
  <si>
    <t>结束价格</t>
  </si>
  <si>
    <t>前复权价格</t>
  </si>
  <si>
    <t>总收益率%</t>
  </si>
  <si>
    <t>年化收益率%</t>
  </si>
  <si>
    <t>波动率%</t>
  </si>
  <si>
    <t>夏普比率</t>
  </si>
  <si>
    <t>最大回撤%</t>
  </si>
  <si>
    <t>胜率%</t>
  </si>
  <si>
    <t>滚动市盈率</t>
  </si>
  <si>
    <t>市净率</t>
  </si>
  <si>
    <t>滚动市销率</t>
  </si>
  <si>
    <t>滚动市现率</t>
  </si>
  <si>
    <t>净资产同比增长率[成长能力]</t>
  </si>
  <si>
    <t>总资产同比增长率</t>
  </si>
  <si>
    <t>净利润同比增长率</t>
  </si>
  <si>
    <t>基本每股收益同比增长率</t>
  </si>
  <si>
    <t>归属母公司股东净利润同比增长率</t>
  </si>
  <si>
    <t>流动比率[偿债能力]</t>
  </si>
  <si>
    <t>速动比率</t>
  </si>
  <si>
    <t>现金比率</t>
  </si>
  <si>
    <t>总负债同比增长率</t>
  </si>
  <si>
    <t>资产负债率</t>
  </si>
  <si>
    <t>权益乘数</t>
  </si>
  <si>
    <t>应收账款周转率(次)[运营能力]</t>
  </si>
  <si>
    <t>应收账款周转天数(天)</t>
  </si>
  <si>
    <t>存货周转率(次)</t>
  </si>
  <si>
    <t>存货周转天数(天)</t>
  </si>
  <si>
    <t>流动资产周转率(次)</t>
  </si>
  <si>
    <t>总资产周转率</t>
  </si>
  <si>
    <t>净资产收益率[盈利能力]</t>
  </si>
  <si>
    <t>销售净利率</t>
  </si>
  <si>
    <t>销售毛利率</t>
  </si>
  <si>
    <t>净利润</t>
  </si>
  <si>
    <t>每股收益</t>
  </si>
  <si>
    <t>主营业务收入</t>
  </si>
  <si>
    <t>总股本</t>
  </si>
  <si>
    <t>流通股本</t>
  </si>
  <si>
    <t>每股分红税前</t>
  </si>
  <si>
    <t>净利润_formatted</t>
  </si>
  <si>
    <t>主营业务收入_formatted</t>
  </si>
  <si>
    <t>sz.300255</t>
  </si>
  <si>
    <t>常山药业</t>
  </si>
  <si>
    <t>2011-08-19</t>
  </si>
  <si>
    <t>2026-02-02</t>
  </si>
  <si>
    <t>-5.70千万</t>
  </si>
  <si>
    <t>0</t>
  </si>
  <si>
    <t>sz.300298</t>
  </si>
  <si>
    <t>三诺生物</t>
  </si>
  <si>
    <t>2012-03-19</t>
  </si>
  <si>
    <t>1.53亿</t>
  </si>
  <si>
    <t>sh.603858</t>
  </si>
  <si>
    <t>步长制药</t>
  </si>
  <si>
    <t>2016-11-18</t>
  </si>
  <si>
    <t>7.91亿</t>
  </si>
  <si>
    <t>sz.300003</t>
  </si>
  <si>
    <t>乐普医疗</t>
  </si>
  <si>
    <t>2009-10-30</t>
  </si>
  <si>
    <t>9.96亿</t>
  </si>
  <si>
    <t>sh.603087</t>
  </si>
  <si>
    <t>甘李药业</t>
  </si>
  <si>
    <t>2020-06-29</t>
  </si>
  <si>
    <t>8.18亿</t>
  </si>
  <si>
    <t>sz.002294</t>
  </si>
  <si>
    <t>信立泰</t>
  </si>
  <si>
    <t>2009-09-10</t>
  </si>
  <si>
    <t>5.91亿</t>
  </si>
  <si>
    <t>sz.002826</t>
  </si>
  <si>
    <t>易明医药</t>
  </si>
  <si>
    <t>2016-12-09</t>
  </si>
  <si>
    <t>8.18千万</t>
  </si>
  <si>
    <t>sh.600351</t>
  </si>
  <si>
    <t>亚宝药业</t>
  </si>
  <si>
    <t>2002-09-26</t>
  </si>
  <si>
    <t>1.98亿</t>
  </si>
  <si>
    <t>sz.002603</t>
  </si>
  <si>
    <t>以岭药业</t>
  </si>
  <si>
    <t>2011-07-28</t>
  </si>
  <si>
    <t>9.97亿</t>
  </si>
  <si>
    <t>sh.600521</t>
  </si>
  <si>
    <t>华海药业</t>
  </si>
  <si>
    <t>2003-03-04</t>
  </si>
  <si>
    <t>3.74亿</t>
  </si>
  <si>
    <t>sh.600196</t>
  </si>
  <si>
    <t>复星药业</t>
  </si>
  <si>
    <t>1998-08-07</t>
  </si>
  <si>
    <t>30.56亿</t>
  </si>
  <si>
    <t>sz.002424</t>
  </si>
  <si>
    <t>贵州百灵</t>
  </si>
  <si>
    <t>2010-06-03</t>
  </si>
  <si>
    <t>5.84千万</t>
  </si>
  <si>
    <t>sh.600535</t>
  </si>
  <si>
    <t>天士力</t>
  </si>
  <si>
    <t>2002-08-23</t>
  </si>
  <si>
    <t>9.93亿</t>
  </si>
  <si>
    <t>sz.000963</t>
  </si>
  <si>
    <t>华东医药</t>
  </si>
  <si>
    <t>2000-01-27</t>
  </si>
  <si>
    <t>27.42亿</t>
  </si>
  <si>
    <t>sz.000661</t>
  </si>
  <si>
    <t>长春高新</t>
  </si>
  <si>
    <t>1996-12-18</t>
  </si>
  <si>
    <t>10.60亿</t>
  </si>
  <si>
    <t>sh.600062</t>
  </si>
  <si>
    <t>华润三鹤</t>
  </si>
  <si>
    <t>1997-05-22</t>
  </si>
  <si>
    <t>13.88亿</t>
  </si>
  <si>
    <t>sz.000999</t>
  </si>
  <si>
    <t>华润三九</t>
  </si>
  <si>
    <t>2000-03-09</t>
  </si>
  <si>
    <t>28.99亿</t>
  </si>
  <si>
    <t>sh.600329</t>
  </si>
  <si>
    <t>达仁堂</t>
  </si>
  <si>
    <t>2001-06-06</t>
  </si>
  <si>
    <t>21.46亿</t>
  </si>
  <si>
    <t>sh.600867</t>
  </si>
  <si>
    <t>通化东宝</t>
  </si>
  <si>
    <t>1994-08-24</t>
  </si>
  <si>
    <t>11.88亿</t>
  </si>
  <si>
    <t>sh.600085</t>
  </si>
  <si>
    <t>同仁堂</t>
  </si>
  <si>
    <t>1997-06-25</t>
  </si>
  <si>
    <t>15.93亿</t>
  </si>
  <si>
    <t>计数</t>
  </si>
  <si>
    <t>均值</t>
  </si>
  <si>
    <t>标准差</t>
  </si>
  <si>
    <t>最小值</t>
  </si>
  <si>
    <t>25%</t>
  </si>
  <si>
    <t>50%</t>
  </si>
  <si>
    <t>75%</t>
  </si>
  <si>
    <t>最大值</t>
  </si>
  <si>
    <t>股息率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</si>
</sst>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"/>
  <sheetViews>
    <sheetView workbookViewId="0"/>
  </sheetViews>
  <sheetFormatPr baseColWidth="10" defaultColWidth="8.83203125" defaultRowHeight="14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48</v>
      </c>
      <c r="D2" t="s">
        <v>49</v>
      </c>
      <c r="E2">
        <v>14.46</v>
      </c>
      <c r="F2">
        <v>31.05</v>
      </c>
      <c r="G2">
        <v>384.87</v>
      </c>
      <c r="H2">
        <v>48.58</v>
      </c>
      <c r="I2">
        <v>1139.52</v>
      </c>
      <c r="J2">
        <v>19.02</v>
      </c>
      <c r="K2">
        <v>54.02</v>
      </c>
      <c r="L2">
        <v>0.3</v>
      </c>
      <c r="M2">
        <v>78.930000000000007</v>
      </c>
      <c r="N2">
        <v>49.15</v>
      </c>
      <c r="O2">
        <v>-148.04</v>
      </c>
      <c r="P2">
        <v>29.43</v>
      </c>
      <c r="Q2">
        <v>48.11</v>
      </c>
      <c r="R2">
        <v>-664.93</v>
      </c>
      <c r="S2">
        <v>-16.59</v>
      </c>
      <c r="T2">
        <v>-0.61</v>
      </c>
      <c r="U2">
        <v>-104.93</v>
      </c>
      <c r="V2">
        <v>-600</v>
      </c>
      <c r="W2">
        <v>-714.77</v>
      </c>
      <c r="X2">
        <v>87.12</v>
      </c>
      <c r="Y2">
        <v>30.85</v>
      </c>
      <c r="Z2">
        <v>10.4</v>
      </c>
      <c r="AA2">
        <v>9.08</v>
      </c>
      <c r="AB2">
        <v>0.68</v>
      </c>
      <c r="AC2">
        <v>3.15</v>
      </c>
      <c r="AD2">
        <v>240.33</v>
      </c>
      <c r="AE2">
        <v>112.34</v>
      </c>
      <c r="AF2">
        <v>42</v>
      </c>
      <c r="AG2">
        <v>642.86</v>
      </c>
      <c r="AH2">
        <v>33.4</v>
      </c>
      <c r="AI2">
        <v>14.84</v>
      </c>
      <c r="AJ2">
        <v>-2.91</v>
      </c>
      <c r="AK2">
        <v>-8.36</v>
      </c>
      <c r="AL2">
        <v>15.92</v>
      </c>
      <c r="AM2">
        <v>-56983632.039999999</v>
      </c>
      <c r="AN2">
        <v>-0.33</v>
      </c>
      <c r="AO2">
        <v>0</v>
      </c>
      <c r="AP2">
        <v>919060878</v>
      </c>
      <c r="AQ2">
        <v>917695878</v>
      </c>
      <c r="AR2">
        <v>0</v>
      </c>
      <c r="AS2" t="s">
        <v>50</v>
      </c>
      <c r="AT2" t="s">
        <v>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"/>
  <sheetViews>
    <sheetView tabSelected="1" workbookViewId="0">
      <selection activeCell="K9" sqref="K9"/>
    </sheetView>
  </sheetViews>
  <sheetFormatPr baseColWidth="10" defaultColWidth="8.83203125" defaultRowHeight="14"/>
  <cols>
    <col min="40" max="40" width="13" bestFit="1" customWidth="1"/>
    <col min="43" max="44" width="11" bestFit="1" customWidth="1"/>
    <col min="45" max="45" width="13" bestFit="1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t="s">
        <v>52</v>
      </c>
      <c r="B2" t="s">
        <v>53</v>
      </c>
      <c r="C2" t="s">
        <v>54</v>
      </c>
      <c r="D2" t="s">
        <v>49</v>
      </c>
      <c r="E2">
        <v>13.88</v>
      </c>
      <c r="F2">
        <v>34.369999999999997</v>
      </c>
      <c r="G2">
        <v>114.01</v>
      </c>
      <c r="H2">
        <v>17.72</v>
      </c>
      <c r="I2">
        <v>231.71</v>
      </c>
      <c r="J2">
        <v>9.0299999999999994</v>
      </c>
      <c r="K2" s="2">
        <f>AS2/H2</f>
        <v>1.2415349887133184E-2</v>
      </c>
      <c r="L2">
        <v>46.4</v>
      </c>
      <c r="M2">
        <v>0.13</v>
      </c>
      <c r="N2">
        <v>71.459999999999994</v>
      </c>
      <c r="O2">
        <v>45.14</v>
      </c>
      <c r="P2">
        <v>35.21</v>
      </c>
      <c r="Q2">
        <v>3.11</v>
      </c>
      <c r="R2">
        <v>2.11</v>
      </c>
      <c r="S2">
        <v>230.8</v>
      </c>
      <c r="T2">
        <v>4.49</v>
      </c>
      <c r="U2">
        <v>5.31</v>
      </c>
      <c r="V2">
        <v>-43.77</v>
      </c>
      <c r="W2">
        <v>-16.89</v>
      </c>
      <c r="X2">
        <v>-17.36</v>
      </c>
      <c r="Y2">
        <v>142.51</v>
      </c>
      <c r="Z2">
        <v>101.45</v>
      </c>
      <c r="AA2">
        <v>59.16</v>
      </c>
      <c r="AB2">
        <v>9.14</v>
      </c>
      <c r="AC2">
        <v>0.41</v>
      </c>
      <c r="AD2">
        <v>1.7</v>
      </c>
      <c r="AE2">
        <v>592.88</v>
      </c>
      <c r="AF2">
        <v>45.54</v>
      </c>
      <c r="AG2">
        <v>250.83</v>
      </c>
      <c r="AH2">
        <v>107.64</v>
      </c>
      <c r="AI2">
        <v>139.12</v>
      </c>
      <c r="AJ2">
        <v>55.94</v>
      </c>
      <c r="AK2">
        <v>6.32</v>
      </c>
      <c r="AL2">
        <v>4.42</v>
      </c>
      <c r="AM2">
        <v>48.91</v>
      </c>
      <c r="AN2">
        <v>152743949.16</v>
      </c>
      <c r="AO2">
        <v>0.5</v>
      </c>
      <c r="AP2">
        <v>0</v>
      </c>
      <c r="AQ2">
        <v>560267306</v>
      </c>
      <c r="AR2">
        <v>451300698</v>
      </c>
      <c r="AS2">
        <v>0.22</v>
      </c>
      <c r="AT2" t="s">
        <v>55</v>
      </c>
      <c r="AU2" t="s">
        <v>51</v>
      </c>
    </row>
    <row r="3" spans="1:47">
      <c r="A3" t="s">
        <v>56</v>
      </c>
      <c r="B3" t="s">
        <v>57</v>
      </c>
      <c r="C3" t="s">
        <v>58</v>
      </c>
      <c r="D3" t="s">
        <v>49</v>
      </c>
      <c r="E3">
        <v>9.2100000000000009</v>
      </c>
      <c r="F3">
        <v>80.47</v>
      </c>
      <c r="G3">
        <v>38.07</v>
      </c>
      <c r="H3">
        <v>16.850000000000001</v>
      </c>
      <c r="I3">
        <v>-52.68</v>
      </c>
      <c r="J3">
        <v>-7.81</v>
      </c>
      <c r="K3" s="2">
        <f t="shared" ref="K3:K21" si="0">AS3/H3</f>
        <v>2.314540059347181E-2</v>
      </c>
      <c r="L3">
        <v>31.86</v>
      </c>
      <c r="M3">
        <v>-0.34</v>
      </c>
      <c r="N3">
        <v>78.290000000000006</v>
      </c>
      <c r="O3">
        <v>49.22</v>
      </c>
      <c r="P3">
        <v>10687.9</v>
      </c>
      <c r="Q3">
        <v>1.68</v>
      </c>
      <c r="R3">
        <v>1.62</v>
      </c>
      <c r="S3">
        <v>-195.12</v>
      </c>
      <c r="T3">
        <v>-5.27</v>
      </c>
      <c r="U3">
        <v>-2.87</v>
      </c>
      <c r="V3">
        <v>263.11</v>
      </c>
      <c r="W3">
        <v>185.99</v>
      </c>
      <c r="X3">
        <v>177.54</v>
      </c>
      <c r="Y3">
        <v>114.55</v>
      </c>
      <c r="Z3">
        <v>49.29</v>
      </c>
      <c r="AA3">
        <v>22.61</v>
      </c>
      <c r="AB3">
        <v>1.63</v>
      </c>
      <c r="AC3">
        <v>0.49</v>
      </c>
      <c r="AD3">
        <v>1.94</v>
      </c>
      <c r="AE3">
        <v>1268.19</v>
      </c>
      <c r="AF3">
        <v>21.29</v>
      </c>
      <c r="AG3">
        <v>69.84</v>
      </c>
      <c r="AH3">
        <v>386.6</v>
      </c>
      <c r="AI3">
        <v>109.51</v>
      </c>
      <c r="AJ3">
        <v>43.54</v>
      </c>
      <c r="AK3">
        <v>8.35</v>
      </c>
      <c r="AL3">
        <v>9.34</v>
      </c>
      <c r="AM3">
        <v>62.31</v>
      </c>
      <c r="AN3">
        <v>791128418.89999998</v>
      </c>
      <c r="AO3">
        <v>0</v>
      </c>
      <c r="AP3">
        <v>0</v>
      </c>
      <c r="AQ3">
        <v>1054568442</v>
      </c>
      <c r="AR3">
        <v>1054568442</v>
      </c>
      <c r="AS3">
        <v>0.39</v>
      </c>
      <c r="AT3" t="s">
        <v>59</v>
      </c>
      <c r="AU3" t="s">
        <v>51</v>
      </c>
    </row>
    <row r="4" spans="1:47">
      <c r="A4" t="s">
        <v>60</v>
      </c>
      <c r="B4" t="s">
        <v>61</v>
      </c>
      <c r="C4" t="s">
        <v>62</v>
      </c>
      <c r="D4" t="s">
        <v>49</v>
      </c>
      <c r="E4">
        <v>16.260000000000002</v>
      </c>
      <c r="F4">
        <v>63.4</v>
      </c>
      <c r="G4">
        <v>83.15</v>
      </c>
      <c r="H4">
        <v>17.5</v>
      </c>
      <c r="I4">
        <v>31.15</v>
      </c>
      <c r="J4">
        <v>1.68</v>
      </c>
      <c r="K4" s="2">
        <f t="shared" si="0"/>
        <v>1.7142857142857144E-2</v>
      </c>
      <c r="L4">
        <v>42.45</v>
      </c>
      <c r="M4">
        <v>-0.03</v>
      </c>
      <c r="N4">
        <v>78.62</v>
      </c>
      <c r="O4">
        <v>47.84</v>
      </c>
      <c r="P4">
        <v>75.67</v>
      </c>
      <c r="Q4">
        <v>2.04</v>
      </c>
      <c r="R4">
        <v>5.16</v>
      </c>
      <c r="S4">
        <v>89.16</v>
      </c>
      <c r="T4">
        <v>1.5</v>
      </c>
      <c r="U4">
        <v>2.42</v>
      </c>
      <c r="V4">
        <v>27.15</v>
      </c>
      <c r="W4">
        <v>22.77</v>
      </c>
      <c r="X4">
        <v>22.35</v>
      </c>
      <c r="Y4">
        <v>189.28</v>
      </c>
      <c r="Z4">
        <v>147.91</v>
      </c>
      <c r="AA4">
        <v>78.56</v>
      </c>
      <c r="AB4">
        <v>2.09</v>
      </c>
      <c r="AC4">
        <v>0.31</v>
      </c>
      <c r="AD4">
        <v>1.44</v>
      </c>
      <c r="AE4">
        <v>258.27999999999997</v>
      </c>
      <c r="AF4">
        <v>104.54</v>
      </c>
      <c r="AG4">
        <v>86.14</v>
      </c>
      <c r="AH4">
        <v>313.44</v>
      </c>
      <c r="AI4">
        <v>55.1</v>
      </c>
      <c r="AJ4">
        <v>19.68</v>
      </c>
      <c r="AK4">
        <v>6.29</v>
      </c>
      <c r="AL4">
        <v>20.170000000000002</v>
      </c>
      <c r="AM4">
        <v>64.209999999999994</v>
      </c>
      <c r="AN4">
        <v>995994270.25</v>
      </c>
      <c r="AO4">
        <v>0.23</v>
      </c>
      <c r="AP4">
        <v>0</v>
      </c>
      <c r="AQ4">
        <v>1880612067</v>
      </c>
      <c r="AR4">
        <v>1616099405</v>
      </c>
      <c r="AS4">
        <v>0.3</v>
      </c>
      <c r="AT4" t="s">
        <v>63</v>
      </c>
      <c r="AU4" t="s">
        <v>51</v>
      </c>
    </row>
    <row r="5" spans="1:47">
      <c r="A5" t="s">
        <v>64</v>
      </c>
      <c r="B5" t="s">
        <v>65</v>
      </c>
      <c r="C5" t="s">
        <v>66</v>
      </c>
      <c r="D5" t="s">
        <v>49</v>
      </c>
      <c r="E5">
        <v>5.6</v>
      </c>
      <c r="F5">
        <v>91.18</v>
      </c>
      <c r="G5">
        <v>96.71</v>
      </c>
      <c r="H5">
        <v>66.099999999999994</v>
      </c>
      <c r="I5">
        <v>6.07</v>
      </c>
      <c r="J5">
        <v>1.06</v>
      </c>
      <c r="K5" s="2">
        <f t="shared" si="0"/>
        <v>1.5128593040847203E-2</v>
      </c>
      <c r="L5">
        <v>41.61</v>
      </c>
      <c r="M5">
        <v>-0.05</v>
      </c>
      <c r="N5">
        <v>84.67</v>
      </c>
      <c r="O5">
        <v>49.34</v>
      </c>
      <c r="P5">
        <v>42.65</v>
      </c>
      <c r="Q5">
        <v>3.5</v>
      </c>
      <c r="R5">
        <v>10.26</v>
      </c>
      <c r="S5">
        <v>591.80999999999995</v>
      </c>
      <c r="T5">
        <v>0.67</v>
      </c>
      <c r="U5">
        <v>-0.65</v>
      </c>
      <c r="V5">
        <v>61.32</v>
      </c>
      <c r="W5">
        <v>62.35</v>
      </c>
      <c r="X5">
        <v>61.32</v>
      </c>
      <c r="Y5">
        <v>719.6</v>
      </c>
      <c r="Z5">
        <v>556.65</v>
      </c>
      <c r="AA5">
        <v>458.57</v>
      </c>
      <c r="AB5">
        <v>-15.21</v>
      </c>
      <c r="AC5">
        <v>7.0000000000000007E-2</v>
      </c>
      <c r="AD5">
        <v>1.08</v>
      </c>
      <c r="AE5">
        <v>800.98</v>
      </c>
      <c r="AF5">
        <v>33.71</v>
      </c>
      <c r="AG5">
        <v>66.64</v>
      </c>
      <c r="AH5">
        <v>405.16</v>
      </c>
      <c r="AI5">
        <v>69.569999999999993</v>
      </c>
      <c r="AJ5">
        <v>25.2</v>
      </c>
      <c r="AK5">
        <v>7.33</v>
      </c>
      <c r="AL5">
        <v>26.86</v>
      </c>
      <c r="AM5">
        <v>76.180000000000007</v>
      </c>
      <c r="AN5">
        <v>818339617.29999995</v>
      </c>
      <c r="AO5">
        <v>1.55</v>
      </c>
      <c r="AP5">
        <v>0</v>
      </c>
      <c r="AQ5">
        <v>597525269</v>
      </c>
      <c r="AR5">
        <v>557858580</v>
      </c>
      <c r="AS5">
        <v>1</v>
      </c>
      <c r="AT5" t="s">
        <v>67</v>
      </c>
      <c r="AU5" t="s">
        <v>51</v>
      </c>
    </row>
    <row r="6" spans="1:47">
      <c r="A6" t="s">
        <v>68</v>
      </c>
      <c r="B6" t="s">
        <v>69</v>
      </c>
      <c r="C6" t="s">
        <v>70</v>
      </c>
      <c r="D6" t="s">
        <v>49</v>
      </c>
      <c r="E6">
        <v>16.399999999999999</v>
      </c>
      <c r="F6">
        <v>66.349999999999994</v>
      </c>
      <c r="G6">
        <v>544.79999999999995</v>
      </c>
      <c r="H6">
        <v>45.63</v>
      </c>
      <c r="I6">
        <v>721.1</v>
      </c>
      <c r="J6">
        <v>13.7</v>
      </c>
      <c r="K6" s="2">
        <f t="shared" si="0"/>
        <v>1.0957703265395573E-2</v>
      </c>
      <c r="L6">
        <v>38.700000000000003</v>
      </c>
      <c r="M6">
        <v>0.28000000000000003</v>
      </c>
      <c r="N6">
        <v>62.45</v>
      </c>
      <c r="O6">
        <v>49.18</v>
      </c>
      <c r="P6">
        <v>75.63</v>
      </c>
      <c r="Q6">
        <v>5.8</v>
      </c>
      <c r="R6">
        <v>11.96</v>
      </c>
      <c r="S6">
        <v>-1472.9</v>
      </c>
      <c r="T6">
        <v>1.93</v>
      </c>
      <c r="U6">
        <v>7.34</v>
      </c>
      <c r="V6">
        <v>15.49</v>
      </c>
      <c r="W6">
        <v>13.04</v>
      </c>
      <c r="X6">
        <v>13.93</v>
      </c>
      <c r="Y6">
        <v>315.37</v>
      </c>
      <c r="Z6">
        <v>277.58</v>
      </c>
      <c r="AA6">
        <v>111.07</v>
      </c>
      <c r="AB6">
        <v>29.25</v>
      </c>
      <c r="AC6">
        <v>0.19</v>
      </c>
      <c r="AD6">
        <v>1.23</v>
      </c>
      <c r="AE6">
        <v>539.54999999999995</v>
      </c>
      <c r="AF6">
        <v>50.04</v>
      </c>
      <c r="AG6">
        <v>155.77000000000001</v>
      </c>
      <c r="AH6">
        <v>173.33</v>
      </c>
      <c r="AI6">
        <v>77.25</v>
      </c>
      <c r="AJ6">
        <v>30.22</v>
      </c>
      <c r="AK6">
        <v>6.64</v>
      </c>
      <c r="AL6">
        <v>18.25</v>
      </c>
      <c r="AM6">
        <v>75.25</v>
      </c>
      <c r="AN6">
        <v>591394788.51999998</v>
      </c>
      <c r="AO6">
        <v>0.6</v>
      </c>
      <c r="AP6">
        <v>0</v>
      </c>
      <c r="AQ6">
        <v>1114816535</v>
      </c>
      <c r="AR6">
        <v>1114565736</v>
      </c>
      <c r="AS6">
        <v>0.5</v>
      </c>
      <c r="AT6" t="s">
        <v>71</v>
      </c>
      <c r="AU6" t="s">
        <v>51</v>
      </c>
    </row>
    <row r="7" spans="1:47">
      <c r="A7" t="s">
        <v>72</v>
      </c>
      <c r="B7" t="s">
        <v>73</v>
      </c>
      <c r="C7" t="s">
        <v>74</v>
      </c>
      <c r="D7" t="s">
        <v>49</v>
      </c>
      <c r="E7">
        <v>9.15</v>
      </c>
      <c r="F7">
        <v>8.73</v>
      </c>
      <c r="G7">
        <v>20.13</v>
      </c>
      <c r="H7">
        <v>19.2</v>
      </c>
      <c r="I7">
        <v>130.63</v>
      </c>
      <c r="J7">
        <v>9.56</v>
      </c>
      <c r="K7" s="2">
        <f t="shared" si="0"/>
        <v>5.2083333333333339E-3</v>
      </c>
      <c r="L7">
        <v>46.06</v>
      </c>
      <c r="M7">
        <v>0.14000000000000001</v>
      </c>
      <c r="N7">
        <v>81.2</v>
      </c>
      <c r="O7">
        <v>49.68</v>
      </c>
      <c r="P7">
        <v>42.63</v>
      </c>
      <c r="Q7">
        <v>4.5599999999999996</v>
      </c>
      <c r="R7">
        <v>5.83</v>
      </c>
      <c r="S7">
        <v>52.46</v>
      </c>
      <c r="T7">
        <v>9.4499999999999993</v>
      </c>
      <c r="U7">
        <v>11.04</v>
      </c>
      <c r="V7">
        <v>91.84</v>
      </c>
      <c r="W7">
        <v>100</v>
      </c>
      <c r="X7">
        <v>95.52</v>
      </c>
      <c r="Y7">
        <v>267.35000000000002</v>
      </c>
      <c r="Z7">
        <v>251.96</v>
      </c>
      <c r="AA7">
        <v>229.74</v>
      </c>
      <c r="AB7">
        <v>19.52</v>
      </c>
      <c r="AC7">
        <v>0.24</v>
      </c>
      <c r="AD7">
        <v>1.32</v>
      </c>
      <c r="AE7">
        <v>998.29</v>
      </c>
      <c r="AF7">
        <v>27.05</v>
      </c>
      <c r="AG7">
        <v>218.84</v>
      </c>
      <c r="AH7">
        <v>123.38</v>
      </c>
      <c r="AI7">
        <v>81.5</v>
      </c>
      <c r="AJ7">
        <v>49.26</v>
      </c>
      <c r="AK7">
        <v>10.61</v>
      </c>
      <c r="AL7">
        <v>16.72</v>
      </c>
      <c r="AM7">
        <v>82.15</v>
      </c>
      <c r="AN7">
        <v>81763271.439999998</v>
      </c>
      <c r="AO7">
        <v>0.45</v>
      </c>
      <c r="AP7">
        <v>0</v>
      </c>
      <c r="AQ7">
        <v>190677750</v>
      </c>
      <c r="AR7">
        <v>174326389</v>
      </c>
      <c r="AS7">
        <v>0.1</v>
      </c>
      <c r="AT7" t="s">
        <v>75</v>
      </c>
      <c r="AU7" t="s">
        <v>51</v>
      </c>
    </row>
    <row r="8" spans="1:47">
      <c r="A8" t="s">
        <v>46</v>
      </c>
      <c r="B8" t="s">
        <v>47</v>
      </c>
      <c r="C8" t="s">
        <v>48</v>
      </c>
      <c r="D8" t="s">
        <v>49</v>
      </c>
      <c r="E8">
        <v>14.46</v>
      </c>
      <c r="F8">
        <v>31.05</v>
      </c>
      <c r="G8">
        <v>384.87</v>
      </c>
      <c r="H8">
        <v>48.58</v>
      </c>
      <c r="I8">
        <v>1139.52</v>
      </c>
      <c r="J8">
        <v>19.02</v>
      </c>
      <c r="K8" s="2">
        <f t="shared" si="0"/>
        <v>0</v>
      </c>
      <c r="L8">
        <v>54.02</v>
      </c>
      <c r="M8">
        <v>0.3</v>
      </c>
      <c r="N8">
        <v>78.930000000000007</v>
      </c>
      <c r="O8">
        <v>49.15</v>
      </c>
      <c r="P8">
        <v>-148.04</v>
      </c>
      <c r="Q8">
        <v>29.43</v>
      </c>
      <c r="R8">
        <v>48.11</v>
      </c>
      <c r="S8">
        <v>-664.93</v>
      </c>
      <c r="T8">
        <v>-16.59</v>
      </c>
      <c r="U8">
        <v>-0.61</v>
      </c>
      <c r="V8">
        <v>-104.93</v>
      </c>
      <c r="W8">
        <v>-600</v>
      </c>
      <c r="X8">
        <v>-714.77</v>
      </c>
      <c r="Y8">
        <v>87.12</v>
      </c>
      <c r="Z8">
        <v>30.85</v>
      </c>
      <c r="AA8">
        <v>10.4</v>
      </c>
      <c r="AB8">
        <v>9.08</v>
      </c>
      <c r="AC8">
        <v>0.68</v>
      </c>
      <c r="AD8">
        <v>3.15</v>
      </c>
      <c r="AE8">
        <v>240.33</v>
      </c>
      <c r="AF8">
        <v>112.34</v>
      </c>
      <c r="AG8">
        <v>42</v>
      </c>
      <c r="AH8">
        <v>642.86</v>
      </c>
      <c r="AI8">
        <v>33.4</v>
      </c>
      <c r="AJ8">
        <v>14.84</v>
      </c>
      <c r="AK8">
        <v>-2.91</v>
      </c>
      <c r="AL8">
        <v>-8.36</v>
      </c>
      <c r="AM8">
        <v>15.92</v>
      </c>
      <c r="AN8">
        <v>-56983632.039999999</v>
      </c>
      <c r="AO8">
        <v>-0.33</v>
      </c>
      <c r="AP8">
        <v>0</v>
      </c>
      <c r="AQ8">
        <v>919060878</v>
      </c>
      <c r="AR8">
        <v>917695878</v>
      </c>
      <c r="AS8">
        <v>0</v>
      </c>
      <c r="AT8" t="s">
        <v>50</v>
      </c>
      <c r="AU8" t="s">
        <v>51</v>
      </c>
    </row>
    <row r="9" spans="1:47">
      <c r="A9" t="s">
        <v>76</v>
      </c>
      <c r="B9" t="s">
        <v>77</v>
      </c>
      <c r="C9" t="s">
        <v>78</v>
      </c>
      <c r="D9" t="s">
        <v>49</v>
      </c>
      <c r="E9">
        <v>23.35</v>
      </c>
      <c r="F9">
        <v>15.55</v>
      </c>
      <c r="G9">
        <v>54.76</v>
      </c>
      <c r="H9">
        <v>6.74</v>
      </c>
      <c r="I9">
        <v>252.16</v>
      </c>
      <c r="J9">
        <v>5.54</v>
      </c>
      <c r="K9" s="2">
        <f t="shared" si="0"/>
        <v>7.418397626112759E-2</v>
      </c>
      <c r="L9">
        <v>40.71</v>
      </c>
      <c r="M9">
        <v>0.06</v>
      </c>
      <c r="N9">
        <v>73.53</v>
      </c>
      <c r="O9">
        <v>48.89</v>
      </c>
      <c r="P9">
        <v>20.93</v>
      </c>
      <c r="Q9">
        <v>1.67</v>
      </c>
      <c r="R9">
        <v>2.0499999999999998</v>
      </c>
      <c r="S9">
        <v>49.43</v>
      </c>
      <c r="T9">
        <v>-5.3</v>
      </c>
      <c r="U9">
        <v>-9.49</v>
      </c>
      <c r="V9">
        <v>-13.12</v>
      </c>
      <c r="W9">
        <v>-5.4</v>
      </c>
      <c r="X9">
        <v>-8.44</v>
      </c>
      <c r="Y9">
        <v>313.64</v>
      </c>
      <c r="Z9">
        <v>249.34</v>
      </c>
      <c r="AA9">
        <v>138.24</v>
      </c>
      <c r="AB9">
        <v>-17.309999999999999</v>
      </c>
      <c r="AC9">
        <v>0.18</v>
      </c>
      <c r="AD9">
        <v>1.21</v>
      </c>
      <c r="AE9">
        <v>651.95000000000005</v>
      </c>
      <c r="AF9">
        <v>41.41</v>
      </c>
      <c r="AG9">
        <v>228.02</v>
      </c>
      <c r="AH9">
        <v>118.41</v>
      </c>
      <c r="AI9">
        <v>112.27</v>
      </c>
      <c r="AJ9">
        <v>49.62</v>
      </c>
      <c r="AK9">
        <v>7.56</v>
      </c>
      <c r="AL9">
        <v>11.62</v>
      </c>
      <c r="AM9">
        <v>52.13</v>
      </c>
      <c r="AN9">
        <v>198491469.16999999</v>
      </c>
      <c r="AO9">
        <v>0.32</v>
      </c>
      <c r="AP9">
        <v>0</v>
      </c>
      <c r="AQ9">
        <v>700000046</v>
      </c>
      <c r="AR9">
        <v>700000046</v>
      </c>
      <c r="AS9">
        <v>0.5</v>
      </c>
      <c r="AT9" t="s">
        <v>79</v>
      </c>
      <c r="AU9" t="s">
        <v>51</v>
      </c>
    </row>
    <row r="10" spans="1:47">
      <c r="A10" t="s">
        <v>80</v>
      </c>
      <c r="B10" t="s">
        <v>81</v>
      </c>
      <c r="C10" t="s">
        <v>82</v>
      </c>
      <c r="D10" t="s">
        <v>49</v>
      </c>
      <c r="E10">
        <v>14.52</v>
      </c>
      <c r="F10">
        <v>44.68</v>
      </c>
      <c r="G10">
        <v>73.28</v>
      </c>
      <c r="H10">
        <v>17.3</v>
      </c>
      <c r="I10">
        <v>64.02</v>
      </c>
      <c r="J10">
        <v>3.47</v>
      </c>
      <c r="K10" s="2">
        <f t="shared" si="0"/>
        <v>1.7341040462427744E-2</v>
      </c>
      <c r="L10">
        <v>41.57</v>
      </c>
      <c r="M10">
        <v>0.01</v>
      </c>
      <c r="N10">
        <v>74.2</v>
      </c>
      <c r="O10">
        <v>48.81</v>
      </c>
      <c r="P10">
        <v>-103.64</v>
      </c>
      <c r="Q10">
        <v>2.7</v>
      </c>
      <c r="R10">
        <v>4.8099999999999996</v>
      </c>
      <c r="S10">
        <v>198.64</v>
      </c>
      <c r="T10">
        <v>-6.95</v>
      </c>
      <c r="U10">
        <v>-14.41</v>
      </c>
      <c r="V10">
        <v>81.510000000000005</v>
      </c>
      <c r="W10">
        <v>80.31</v>
      </c>
      <c r="X10">
        <v>80.33</v>
      </c>
      <c r="Y10">
        <v>184.62</v>
      </c>
      <c r="Z10">
        <v>128.46</v>
      </c>
      <c r="AA10">
        <v>64.819999999999993</v>
      </c>
      <c r="AB10">
        <v>-31.31</v>
      </c>
      <c r="AC10">
        <v>0.25</v>
      </c>
      <c r="AD10">
        <v>1.33</v>
      </c>
      <c r="AE10">
        <v>450.37</v>
      </c>
      <c r="AF10">
        <v>59.95</v>
      </c>
      <c r="AG10">
        <v>134.97999999999999</v>
      </c>
      <c r="AH10">
        <v>200.03</v>
      </c>
      <c r="AI10">
        <v>118.84</v>
      </c>
      <c r="AJ10">
        <v>42.61</v>
      </c>
      <c r="AK10">
        <v>9.56</v>
      </c>
      <c r="AL10">
        <v>16.989999999999998</v>
      </c>
      <c r="AM10">
        <v>60.53</v>
      </c>
      <c r="AN10">
        <v>996674335.89999998</v>
      </c>
      <c r="AO10">
        <v>-0.17</v>
      </c>
      <c r="AP10">
        <v>0</v>
      </c>
      <c r="AQ10">
        <v>1670705376</v>
      </c>
      <c r="AR10">
        <v>1376846739</v>
      </c>
      <c r="AS10">
        <v>0.3</v>
      </c>
      <c r="AT10" t="s">
        <v>83</v>
      </c>
      <c r="AU10" t="s">
        <v>51</v>
      </c>
    </row>
    <row r="11" spans="1:47">
      <c r="A11" t="s">
        <v>84</v>
      </c>
      <c r="B11" t="s">
        <v>85</v>
      </c>
      <c r="C11" t="s">
        <v>86</v>
      </c>
      <c r="D11" t="s">
        <v>49</v>
      </c>
      <c r="E11">
        <v>22.92</v>
      </c>
      <c r="F11">
        <v>22.06</v>
      </c>
      <c r="G11">
        <v>228.68</v>
      </c>
      <c r="H11">
        <v>15.33</v>
      </c>
      <c r="I11">
        <v>936.65</v>
      </c>
      <c r="J11">
        <v>10.74</v>
      </c>
      <c r="K11" s="2">
        <f t="shared" si="0"/>
        <v>1.6307893020221786E-2</v>
      </c>
      <c r="L11">
        <v>42.85</v>
      </c>
      <c r="M11">
        <v>0.18</v>
      </c>
      <c r="N11">
        <v>73.91</v>
      </c>
      <c r="O11">
        <v>49.04</v>
      </c>
      <c r="P11">
        <v>49.04</v>
      </c>
      <c r="Q11">
        <v>2.48</v>
      </c>
      <c r="R11">
        <v>2.64</v>
      </c>
      <c r="S11">
        <v>-866.95</v>
      </c>
      <c r="T11">
        <v>8.16</v>
      </c>
      <c r="U11">
        <v>8.17</v>
      </c>
      <c r="V11">
        <v>-63.95</v>
      </c>
      <c r="W11">
        <v>-63.38</v>
      </c>
      <c r="X11">
        <v>-63.12</v>
      </c>
      <c r="Y11">
        <v>132.35</v>
      </c>
      <c r="Z11">
        <v>73.989999999999995</v>
      </c>
      <c r="AA11">
        <v>23.14</v>
      </c>
      <c r="AB11">
        <v>8.99</v>
      </c>
      <c r="AC11">
        <v>0.55000000000000004</v>
      </c>
      <c r="AD11">
        <v>2.2000000000000002</v>
      </c>
      <c r="AE11">
        <v>222.39</v>
      </c>
      <c r="AF11">
        <v>121.41</v>
      </c>
      <c r="AG11">
        <v>67.92</v>
      </c>
      <c r="AH11">
        <v>397.53</v>
      </c>
      <c r="AI11">
        <v>74.819999999999993</v>
      </c>
      <c r="AJ11">
        <v>30.95</v>
      </c>
      <c r="AK11">
        <v>4.13</v>
      </c>
      <c r="AL11">
        <v>5.83</v>
      </c>
      <c r="AM11">
        <v>61.71</v>
      </c>
      <c r="AN11">
        <v>373930103.93000001</v>
      </c>
      <c r="AO11">
        <v>0.31</v>
      </c>
      <c r="AP11">
        <v>0</v>
      </c>
      <c r="AQ11">
        <v>1497251442</v>
      </c>
      <c r="AR11">
        <v>1497251442</v>
      </c>
      <c r="AS11">
        <v>0.25</v>
      </c>
      <c r="AT11" t="s">
        <v>87</v>
      </c>
      <c r="AU11" t="s">
        <v>51</v>
      </c>
    </row>
    <row r="12" spans="1:47">
      <c r="A12" t="s">
        <v>88</v>
      </c>
      <c r="B12" t="s">
        <v>89</v>
      </c>
      <c r="C12" t="s">
        <v>90</v>
      </c>
      <c r="D12" t="s">
        <v>49</v>
      </c>
      <c r="E12">
        <v>27.49</v>
      </c>
      <c r="F12">
        <v>24.7</v>
      </c>
      <c r="G12">
        <v>352.86</v>
      </c>
      <c r="H12">
        <v>26.25</v>
      </c>
      <c r="I12">
        <v>1328.57</v>
      </c>
      <c r="J12">
        <v>10.16</v>
      </c>
      <c r="K12" s="2">
        <f t="shared" si="0"/>
        <v>1.2190476190476191E-2</v>
      </c>
      <c r="L12">
        <v>40.24</v>
      </c>
      <c r="M12">
        <v>0.18</v>
      </c>
      <c r="N12">
        <v>75.09</v>
      </c>
      <c r="O12">
        <v>49.39</v>
      </c>
      <c r="P12">
        <v>21.36</v>
      </c>
      <c r="Q12">
        <v>1.46</v>
      </c>
      <c r="R12">
        <v>1.77</v>
      </c>
      <c r="S12">
        <v>-45.48</v>
      </c>
      <c r="T12">
        <v>1.54</v>
      </c>
      <c r="U12">
        <v>2.48</v>
      </c>
      <c r="V12">
        <v>21.34</v>
      </c>
      <c r="W12">
        <v>26.67</v>
      </c>
      <c r="X12">
        <v>25.5</v>
      </c>
      <c r="Y12">
        <v>91.62</v>
      </c>
      <c r="Z12">
        <v>72.14</v>
      </c>
      <c r="AA12">
        <v>38.49</v>
      </c>
      <c r="AB12">
        <v>2.21</v>
      </c>
      <c r="AC12">
        <v>0.49</v>
      </c>
      <c r="AD12">
        <v>1.94</v>
      </c>
      <c r="AE12">
        <v>361.93</v>
      </c>
      <c r="AF12">
        <v>74.599999999999994</v>
      </c>
      <c r="AG12">
        <v>212.5</v>
      </c>
      <c r="AH12">
        <v>127.06</v>
      </c>
      <c r="AI12">
        <v>88.22</v>
      </c>
      <c r="AJ12">
        <v>24.95</v>
      </c>
      <c r="AK12">
        <v>5.3</v>
      </c>
      <c r="AL12">
        <v>10.4</v>
      </c>
      <c r="AM12">
        <v>48.2</v>
      </c>
      <c r="AN12">
        <v>3056091951.6799998</v>
      </c>
      <c r="AO12">
        <v>1.23</v>
      </c>
      <c r="AP12">
        <v>0</v>
      </c>
      <c r="AQ12">
        <v>2670429325</v>
      </c>
      <c r="AR12">
        <v>2118488825</v>
      </c>
      <c r="AS12">
        <v>0.32</v>
      </c>
      <c r="AT12" t="s">
        <v>91</v>
      </c>
      <c r="AU12" t="s">
        <v>51</v>
      </c>
    </row>
    <row r="13" spans="1:47">
      <c r="A13" t="s">
        <v>92</v>
      </c>
      <c r="B13" t="s">
        <v>93</v>
      </c>
      <c r="C13" t="s">
        <v>94</v>
      </c>
      <c r="D13" t="s">
        <v>49</v>
      </c>
      <c r="E13">
        <v>15.67</v>
      </c>
      <c r="F13">
        <v>40.53</v>
      </c>
      <c r="G13">
        <v>44.66</v>
      </c>
      <c r="H13">
        <v>4.13</v>
      </c>
      <c r="I13">
        <v>10.19</v>
      </c>
      <c r="J13">
        <v>0.62</v>
      </c>
      <c r="K13" s="2">
        <f t="shared" si="0"/>
        <v>0</v>
      </c>
      <c r="L13">
        <v>42.71</v>
      </c>
      <c r="M13">
        <v>-0.06</v>
      </c>
      <c r="N13">
        <v>91</v>
      </c>
      <c r="O13">
        <v>47.88</v>
      </c>
      <c r="P13">
        <v>2599.65</v>
      </c>
      <c r="Q13">
        <v>1.77</v>
      </c>
      <c r="R13">
        <v>1.83</v>
      </c>
      <c r="S13">
        <v>5553.09</v>
      </c>
      <c r="T13">
        <v>-6.26</v>
      </c>
      <c r="U13">
        <v>-12.13</v>
      </c>
      <c r="V13">
        <v>-32.94</v>
      </c>
      <c r="W13">
        <v>-33.33</v>
      </c>
      <c r="X13">
        <v>-35.6</v>
      </c>
      <c r="Y13">
        <v>98.93</v>
      </c>
      <c r="Z13">
        <v>66.62</v>
      </c>
      <c r="AA13">
        <v>6.42</v>
      </c>
      <c r="AB13">
        <v>-17.920000000000002</v>
      </c>
      <c r="AC13">
        <v>0.48</v>
      </c>
      <c r="AD13">
        <v>1.91</v>
      </c>
      <c r="AE13">
        <v>137.68</v>
      </c>
      <c r="AF13">
        <v>196.11</v>
      </c>
      <c r="AG13">
        <v>97.76</v>
      </c>
      <c r="AH13">
        <v>276.19</v>
      </c>
      <c r="AI13">
        <v>65.260000000000005</v>
      </c>
      <c r="AJ13">
        <v>31.32</v>
      </c>
      <c r="AK13">
        <v>1.76</v>
      </c>
      <c r="AL13">
        <v>2.78</v>
      </c>
      <c r="AM13">
        <v>52.91</v>
      </c>
      <c r="AN13">
        <v>58408111.030000001</v>
      </c>
      <c r="AO13">
        <v>0</v>
      </c>
      <c r="AP13">
        <v>0</v>
      </c>
      <c r="AQ13">
        <v>1397598400</v>
      </c>
      <c r="AR13">
        <v>1213214512</v>
      </c>
      <c r="AS13">
        <v>0</v>
      </c>
      <c r="AT13" t="s">
        <v>95</v>
      </c>
      <c r="AU13" t="s">
        <v>51</v>
      </c>
    </row>
    <row r="14" spans="1:47">
      <c r="A14" t="s">
        <v>96</v>
      </c>
      <c r="B14" t="s">
        <v>97</v>
      </c>
      <c r="C14" t="s">
        <v>98</v>
      </c>
      <c r="D14" t="s">
        <v>49</v>
      </c>
      <c r="E14">
        <v>23.45</v>
      </c>
      <c r="F14">
        <v>22.57</v>
      </c>
      <c r="G14">
        <v>154.62</v>
      </c>
      <c r="H14">
        <v>14.74</v>
      </c>
      <c r="I14">
        <v>585.07000000000005</v>
      </c>
      <c r="J14">
        <v>8.5500000000000007</v>
      </c>
      <c r="K14" s="2">
        <f t="shared" si="0"/>
        <v>2.7815468113975575E-2</v>
      </c>
      <c r="L14">
        <v>35.18</v>
      </c>
      <c r="M14">
        <v>0.16</v>
      </c>
      <c r="N14">
        <v>74.11</v>
      </c>
      <c r="O14">
        <v>49.4</v>
      </c>
      <c r="P14">
        <v>20.059999999999999</v>
      </c>
      <c r="Q14">
        <v>1.79</v>
      </c>
      <c r="R14">
        <v>2.64</v>
      </c>
      <c r="S14">
        <v>135.55000000000001</v>
      </c>
      <c r="T14">
        <v>-3.17</v>
      </c>
      <c r="U14">
        <v>-11.15</v>
      </c>
      <c r="V14">
        <v>19.850000000000001</v>
      </c>
      <c r="W14">
        <v>17.86</v>
      </c>
      <c r="X14">
        <v>16.88</v>
      </c>
      <c r="Y14">
        <v>382.48</v>
      </c>
      <c r="Z14">
        <v>312.41000000000003</v>
      </c>
      <c r="AA14">
        <v>171.09</v>
      </c>
      <c r="AB14">
        <v>-35.630000000000003</v>
      </c>
      <c r="AC14">
        <v>0.16</v>
      </c>
      <c r="AD14">
        <v>1.2</v>
      </c>
      <c r="AE14">
        <v>642</v>
      </c>
      <c r="AF14">
        <v>42.06</v>
      </c>
      <c r="AG14">
        <v>132.65</v>
      </c>
      <c r="AH14">
        <v>203.54</v>
      </c>
      <c r="AI14">
        <v>83.53</v>
      </c>
      <c r="AJ14">
        <v>42.16</v>
      </c>
      <c r="AK14">
        <v>8.1300000000000008</v>
      </c>
      <c r="AL14">
        <v>15.73</v>
      </c>
      <c r="AM14">
        <v>66.989999999999995</v>
      </c>
      <c r="AN14">
        <v>992545465.74000001</v>
      </c>
      <c r="AO14">
        <v>0.73</v>
      </c>
      <c r="AP14">
        <v>0</v>
      </c>
      <c r="AQ14">
        <v>1493950005</v>
      </c>
      <c r="AR14">
        <v>1493950005</v>
      </c>
      <c r="AS14">
        <v>0.41</v>
      </c>
      <c r="AT14" t="s">
        <v>99</v>
      </c>
      <c r="AU14" t="s">
        <v>51</v>
      </c>
    </row>
    <row r="15" spans="1:47">
      <c r="A15" t="s">
        <v>100</v>
      </c>
      <c r="B15" t="s">
        <v>101</v>
      </c>
      <c r="C15" t="s">
        <v>102</v>
      </c>
      <c r="D15" t="s">
        <v>49</v>
      </c>
      <c r="E15">
        <v>26.02</v>
      </c>
      <c r="F15">
        <v>20.62</v>
      </c>
      <c r="G15">
        <v>338.96</v>
      </c>
      <c r="H15">
        <v>35.89</v>
      </c>
      <c r="I15">
        <v>1543.85</v>
      </c>
      <c r="J15">
        <v>11.36</v>
      </c>
      <c r="K15" s="2">
        <f t="shared" si="0"/>
        <v>2.5912510448592923E-2</v>
      </c>
      <c r="L15">
        <v>39.08</v>
      </c>
      <c r="M15">
        <v>0.21</v>
      </c>
      <c r="N15">
        <v>72.260000000000005</v>
      </c>
      <c r="O15">
        <v>47.35</v>
      </c>
      <c r="P15">
        <v>17.02</v>
      </c>
      <c r="Q15">
        <v>2.61</v>
      </c>
      <c r="R15">
        <v>1.46</v>
      </c>
      <c r="S15">
        <v>344</v>
      </c>
      <c r="T15">
        <v>9.49</v>
      </c>
      <c r="U15">
        <v>6.49</v>
      </c>
      <c r="V15">
        <v>7</v>
      </c>
      <c r="W15">
        <v>7.09</v>
      </c>
      <c r="X15">
        <v>7.24</v>
      </c>
      <c r="Y15">
        <v>155.87</v>
      </c>
      <c r="Z15">
        <v>120.2</v>
      </c>
      <c r="AA15">
        <v>30.02</v>
      </c>
      <c r="AB15">
        <v>3.4</v>
      </c>
      <c r="AC15">
        <v>0.39</v>
      </c>
      <c r="AD15">
        <v>1.63</v>
      </c>
      <c r="AE15">
        <v>333.78</v>
      </c>
      <c r="AF15">
        <v>80.89</v>
      </c>
      <c r="AG15">
        <v>435.33</v>
      </c>
      <c r="AH15">
        <v>62.02</v>
      </c>
      <c r="AI15">
        <v>149.24</v>
      </c>
      <c r="AJ15">
        <v>83.96</v>
      </c>
      <c r="AK15">
        <v>11.65</v>
      </c>
      <c r="AL15">
        <v>8.39</v>
      </c>
      <c r="AM15">
        <v>33.520000000000003</v>
      </c>
      <c r="AN15">
        <v>2741858261.1900001</v>
      </c>
      <c r="AO15">
        <v>2.11</v>
      </c>
      <c r="AP15">
        <v>0</v>
      </c>
      <c r="AQ15">
        <v>1754021048</v>
      </c>
      <c r="AR15">
        <v>1751936228</v>
      </c>
      <c r="AS15">
        <v>0.93</v>
      </c>
      <c r="AT15" t="s">
        <v>103</v>
      </c>
      <c r="AU15" t="s">
        <v>51</v>
      </c>
    </row>
    <row r="16" spans="1:47">
      <c r="A16" t="s">
        <v>104</v>
      </c>
      <c r="B16" t="s">
        <v>105</v>
      </c>
      <c r="C16" t="s">
        <v>106</v>
      </c>
      <c r="D16" t="s">
        <v>49</v>
      </c>
      <c r="E16">
        <v>29.13</v>
      </c>
      <c r="F16">
        <v>18.489999999999998</v>
      </c>
      <c r="G16">
        <v>626.41999999999996</v>
      </c>
      <c r="H16">
        <v>90.01</v>
      </c>
      <c r="I16">
        <v>3287.86</v>
      </c>
      <c r="J16">
        <v>12.86</v>
      </c>
      <c r="K16" s="2">
        <f t="shared" si="0"/>
        <v>2.8885679368959003E-2</v>
      </c>
      <c r="L16">
        <v>47.29</v>
      </c>
      <c r="M16">
        <v>0.21</v>
      </c>
      <c r="N16">
        <v>84.61</v>
      </c>
      <c r="O16">
        <v>49.58</v>
      </c>
      <c r="P16">
        <v>38.29</v>
      </c>
      <c r="Q16">
        <v>1.6</v>
      </c>
      <c r="R16">
        <v>2.85</v>
      </c>
      <c r="S16">
        <v>-11.3</v>
      </c>
      <c r="T16">
        <v>0.13</v>
      </c>
      <c r="U16">
        <v>1.24</v>
      </c>
      <c r="V16">
        <v>-63.73</v>
      </c>
      <c r="W16">
        <v>-58.15</v>
      </c>
      <c r="X16">
        <v>-58.23</v>
      </c>
      <c r="Y16">
        <v>384.56</v>
      </c>
      <c r="Z16">
        <v>234.66</v>
      </c>
      <c r="AA16">
        <v>111.01</v>
      </c>
      <c r="AB16">
        <v>9.15</v>
      </c>
      <c r="AC16">
        <v>0.18</v>
      </c>
      <c r="AD16">
        <v>1.21</v>
      </c>
      <c r="AE16">
        <v>332.21</v>
      </c>
      <c r="AF16">
        <v>81.27</v>
      </c>
      <c r="AG16">
        <v>29.25</v>
      </c>
      <c r="AH16">
        <v>923.08</v>
      </c>
      <c r="AI16">
        <v>61.92</v>
      </c>
      <c r="AJ16">
        <v>31.38</v>
      </c>
      <c r="AK16">
        <v>5.0599999999999996</v>
      </c>
      <c r="AL16">
        <v>10.81</v>
      </c>
      <c r="AM16">
        <v>83.95</v>
      </c>
      <c r="AN16">
        <v>1059725544.29</v>
      </c>
      <c r="AO16">
        <v>2.35</v>
      </c>
      <c r="AP16">
        <v>0</v>
      </c>
      <c r="AQ16">
        <v>407937529</v>
      </c>
      <c r="AR16">
        <v>399624406</v>
      </c>
      <c r="AS16">
        <v>2.6</v>
      </c>
      <c r="AT16" t="s">
        <v>107</v>
      </c>
      <c r="AU16" t="s">
        <v>51</v>
      </c>
    </row>
    <row r="17" spans="1:47">
      <c r="A17" t="s">
        <v>108</v>
      </c>
      <c r="B17" t="s">
        <v>109</v>
      </c>
      <c r="C17" t="s">
        <v>110</v>
      </c>
      <c r="D17" t="s">
        <v>49</v>
      </c>
      <c r="E17">
        <v>28.7</v>
      </c>
      <c r="F17">
        <v>13.85</v>
      </c>
      <c r="G17">
        <v>124.18</v>
      </c>
      <c r="H17">
        <v>18.350000000000001</v>
      </c>
      <c r="I17">
        <v>796.6</v>
      </c>
      <c r="J17">
        <v>7.94</v>
      </c>
      <c r="K17" s="2">
        <f t="shared" si="0"/>
        <v>2.5613079019073566E-2</v>
      </c>
      <c r="L17">
        <v>39.4</v>
      </c>
      <c r="M17">
        <v>0.13</v>
      </c>
      <c r="N17">
        <v>82.58</v>
      </c>
      <c r="O17">
        <v>48.79</v>
      </c>
      <c r="P17">
        <v>12.06</v>
      </c>
      <c r="Q17">
        <v>1.68</v>
      </c>
      <c r="R17">
        <v>1.74</v>
      </c>
      <c r="S17">
        <v>-38.81</v>
      </c>
      <c r="T17">
        <v>11.03</v>
      </c>
      <c r="U17">
        <v>2.83</v>
      </c>
      <c r="V17">
        <v>-1.67</v>
      </c>
      <c r="W17">
        <v>-3.82</v>
      </c>
      <c r="X17">
        <v>-3.4</v>
      </c>
      <c r="Y17">
        <v>224.97</v>
      </c>
      <c r="Z17">
        <v>174.74</v>
      </c>
      <c r="AA17">
        <v>74.099999999999994</v>
      </c>
      <c r="AB17">
        <v>-14.21</v>
      </c>
      <c r="AC17">
        <v>0.28999999999999998</v>
      </c>
      <c r="AD17">
        <v>1.4</v>
      </c>
      <c r="AE17">
        <v>406.92</v>
      </c>
      <c r="AF17">
        <v>66.349999999999994</v>
      </c>
      <c r="AG17">
        <v>207.72</v>
      </c>
      <c r="AH17">
        <v>129.97999999999999</v>
      </c>
      <c r="AI17">
        <v>111.78</v>
      </c>
      <c r="AJ17">
        <v>49.16</v>
      </c>
      <c r="AK17">
        <v>12.42</v>
      </c>
      <c r="AL17">
        <v>16.760000000000002</v>
      </c>
      <c r="AM17">
        <v>59.31</v>
      </c>
      <c r="AN17">
        <v>1388212831.8399999</v>
      </c>
      <c r="AO17">
        <v>1.52</v>
      </c>
      <c r="AP17">
        <v>0</v>
      </c>
      <c r="AQ17">
        <v>1038757509</v>
      </c>
      <c r="AR17">
        <v>1032630823</v>
      </c>
      <c r="AS17">
        <v>0.47</v>
      </c>
      <c r="AT17" t="s">
        <v>111</v>
      </c>
      <c r="AU17" t="s">
        <v>51</v>
      </c>
    </row>
    <row r="18" spans="1:47">
      <c r="A18" t="s">
        <v>112</v>
      </c>
      <c r="B18" t="s">
        <v>113</v>
      </c>
      <c r="C18" t="s">
        <v>114</v>
      </c>
      <c r="D18" t="s">
        <v>49</v>
      </c>
      <c r="E18">
        <v>25.9</v>
      </c>
      <c r="F18">
        <v>25.47</v>
      </c>
      <c r="G18">
        <v>84.26</v>
      </c>
      <c r="H18">
        <v>28.1</v>
      </c>
      <c r="I18">
        <v>230.82</v>
      </c>
      <c r="J18">
        <v>4.7300000000000004</v>
      </c>
      <c r="K18" s="2">
        <f t="shared" si="0"/>
        <v>2.7402135231316724E-2</v>
      </c>
      <c r="L18">
        <v>36.19</v>
      </c>
      <c r="M18">
        <v>0.05</v>
      </c>
      <c r="N18">
        <v>82.97</v>
      </c>
      <c r="O18">
        <v>46.75</v>
      </c>
      <c r="P18">
        <v>16.940000000000001</v>
      </c>
      <c r="Q18">
        <v>2.21</v>
      </c>
      <c r="R18">
        <v>1.57</v>
      </c>
      <c r="S18">
        <v>-34.03</v>
      </c>
      <c r="T18">
        <v>2.84</v>
      </c>
      <c r="U18">
        <v>38.74</v>
      </c>
      <c r="V18">
        <v>-10.65</v>
      </c>
      <c r="W18">
        <v>-20.22</v>
      </c>
      <c r="X18">
        <v>-20.51</v>
      </c>
      <c r="Y18">
        <v>182.66</v>
      </c>
      <c r="Z18">
        <v>138.69999999999999</v>
      </c>
      <c r="AA18">
        <v>59.02</v>
      </c>
      <c r="AB18">
        <v>30.46</v>
      </c>
      <c r="AC18">
        <v>0.34</v>
      </c>
      <c r="AD18">
        <v>1.51</v>
      </c>
      <c r="AE18">
        <v>304.91000000000003</v>
      </c>
      <c r="AF18">
        <v>88.55</v>
      </c>
      <c r="AG18">
        <v>180.56</v>
      </c>
      <c r="AH18">
        <v>149.53</v>
      </c>
      <c r="AI18">
        <v>90.83</v>
      </c>
      <c r="AJ18">
        <v>45.5</v>
      </c>
      <c r="AK18">
        <v>11.47</v>
      </c>
      <c r="AL18">
        <v>13.19</v>
      </c>
      <c r="AM18">
        <v>53.52</v>
      </c>
      <c r="AN18">
        <v>2899296865.5900002</v>
      </c>
      <c r="AO18">
        <v>1.66</v>
      </c>
      <c r="AP18">
        <v>0</v>
      </c>
      <c r="AQ18">
        <v>1664254363</v>
      </c>
      <c r="AR18">
        <v>1662694003</v>
      </c>
      <c r="AS18">
        <v>0.77</v>
      </c>
      <c r="AT18" t="s">
        <v>115</v>
      </c>
      <c r="AU18" t="s">
        <v>51</v>
      </c>
    </row>
    <row r="19" spans="1:47">
      <c r="A19" t="s">
        <v>116</v>
      </c>
      <c r="B19" t="s">
        <v>117</v>
      </c>
      <c r="C19" t="s">
        <v>118</v>
      </c>
      <c r="D19" t="s">
        <v>49</v>
      </c>
      <c r="E19">
        <v>24.66</v>
      </c>
      <c r="F19">
        <v>28</v>
      </c>
      <c r="G19">
        <v>121.69</v>
      </c>
      <c r="H19">
        <v>43.15</v>
      </c>
      <c r="I19">
        <v>334.62</v>
      </c>
      <c r="J19">
        <v>6.14</v>
      </c>
      <c r="K19" s="2">
        <f t="shared" si="0"/>
        <v>2.966396292004635E-2</v>
      </c>
      <c r="L19">
        <v>41.18</v>
      </c>
      <c r="M19">
        <v>0.08</v>
      </c>
      <c r="N19">
        <v>83.67</v>
      </c>
      <c r="O19">
        <v>49.06</v>
      </c>
      <c r="P19">
        <v>9.2899999999999991</v>
      </c>
      <c r="Q19">
        <v>3.69</v>
      </c>
      <c r="R19">
        <v>6.19</v>
      </c>
      <c r="S19">
        <v>-107.52</v>
      </c>
      <c r="T19">
        <v>40.33</v>
      </c>
      <c r="U19">
        <v>5.61</v>
      </c>
      <c r="V19">
        <v>170.6</v>
      </c>
      <c r="W19">
        <v>169.23</v>
      </c>
      <c r="X19">
        <v>167.73</v>
      </c>
      <c r="Y19">
        <v>281.31</v>
      </c>
      <c r="Z19">
        <v>232.64</v>
      </c>
      <c r="AA19">
        <v>42.34</v>
      </c>
      <c r="AB19">
        <v>-43.28</v>
      </c>
      <c r="AC19">
        <v>0.22</v>
      </c>
      <c r="AD19">
        <v>1.28</v>
      </c>
      <c r="AE19">
        <v>350.23</v>
      </c>
      <c r="AF19">
        <v>77.09</v>
      </c>
      <c r="AG19">
        <v>73.709999999999994</v>
      </c>
      <c r="AH19">
        <v>366.3</v>
      </c>
      <c r="AI19">
        <v>54.07</v>
      </c>
      <c r="AJ19">
        <v>32.83</v>
      </c>
      <c r="AK19">
        <v>25.54</v>
      </c>
      <c r="AL19">
        <v>58.48</v>
      </c>
      <c r="AM19">
        <v>74.98</v>
      </c>
      <c r="AN19">
        <v>2146216262.9200001</v>
      </c>
      <c r="AO19">
        <v>4.6500000000000004</v>
      </c>
      <c r="AP19">
        <v>0</v>
      </c>
      <c r="AQ19">
        <v>770094356</v>
      </c>
      <c r="AR19">
        <v>567089356</v>
      </c>
      <c r="AS19">
        <v>1.28</v>
      </c>
      <c r="AT19" t="s">
        <v>119</v>
      </c>
      <c r="AU19" t="s">
        <v>51</v>
      </c>
    </row>
    <row r="20" spans="1:47">
      <c r="A20" t="s">
        <v>120</v>
      </c>
      <c r="B20" t="s">
        <v>121</v>
      </c>
      <c r="C20" t="s">
        <v>122</v>
      </c>
      <c r="D20" t="s">
        <v>49</v>
      </c>
      <c r="E20">
        <v>31.44</v>
      </c>
      <c r="F20">
        <v>16.600000000000001</v>
      </c>
      <c r="G20">
        <v>269.97000000000003</v>
      </c>
      <c r="H20">
        <v>8.57</v>
      </c>
      <c r="I20">
        <v>1526.31</v>
      </c>
      <c r="J20">
        <v>9.27</v>
      </c>
      <c r="K20" s="2">
        <f t="shared" si="0"/>
        <v>2.9171528588098017E-2</v>
      </c>
      <c r="L20">
        <v>42.7</v>
      </c>
      <c r="M20">
        <v>0.15</v>
      </c>
      <c r="N20">
        <v>79.94</v>
      </c>
      <c r="O20">
        <v>48.85</v>
      </c>
      <c r="P20">
        <v>13.69</v>
      </c>
      <c r="Q20">
        <v>2.35</v>
      </c>
      <c r="R20">
        <v>6.12</v>
      </c>
      <c r="S20">
        <v>14.38</v>
      </c>
      <c r="T20">
        <v>10.94</v>
      </c>
      <c r="U20">
        <v>14.45</v>
      </c>
      <c r="V20">
        <v>1888.06</v>
      </c>
      <c r="W20">
        <v>2133.33</v>
      </c>
      <c r="X20">
        <v>1911.35</v>
      </c>
      <c r="Y20">
        <v>464.42</v>
      </c>
      <c r="Z20">
        <v>348.76</v>
      </c>
      <c r="AA20">
        <v>259.13</v>
      </c>
      <c r="AB20">
        <v>46.44</v>
      </c>
      <c r="AC20">
        <v>0.12</v>
      </c>
      <c r="AD20">
        <v>1.1399999999999999</v>
      </c>
      <c r="AE20">
        <v>454.89</v>
      </c>
      <c r="AF20">
        <v>59.35</v>
      </c>
      <c r="AG20">
        <v>82.98</v>
      </c>
      <c r="AH20">
        <v>325.38</v>
      </c>
      <c r="AI20">
        <v>87.53</v>
      </c>
      <c r="AJ20">
        <v>28.06</v>
      </c>
      <c r="AK20">
        <v>17.8</v>
      </c>
      <c r="AL20">
        <v>54.5</v>
      </c>
      <c r="AM20">
        <v>71.89</v>
      </c>
      <c r="AN20">
        <v>1187879930.8800001</v>
      </c>
      <c r="AO20">
        <v>0.63</v>
      </c>
      <c r="AP20">
        <v>0</v>
      </c>
      <c r="AQ20">
        <v>1958542829</v>
      </c>
      <c r="AR20">
        <v>1958542829</v>
      </c>
      <c r="AS20">
        <v>0.25</v>
      </c>
      <c r="AT20" t="s">
        <v>123</v>
      </c>
      <c r="AU20" t="s">
        <v>51</v>
      </c>
    </row>
    <row r="21" spans="1:47">
      <c r="A21" t="s">
        <v>124</v>
      </c>
      <c r="B21" t="s">
        <v>125</v>
      </c>
      <c r="C21" t="s">
        <v>126</v>
      </c>
      <c r="D21" t="s">
        <v>49</v>
      </c>
      <c r="E21">
        <v>28.61</v>
      </c>
      <c r="F21">
        <v>17.22</v>
      </c>
      <c r="G21">
        <v>292.36</v>
      </c>
      <c r="H21">
        <v>30.12</v>
      </c>
      <c r="I21">
        <v>1597.8</v>
      </c>
      <c r="J21">
        <v>10.41</v>
      </c>
      <c r="K21" s="2">
        <f t="shared" si="0"/>
        <v>1.6600265604249667E-2</v>
      </c>
      <c r="L21">
        <v>35.79</v>
      </c>
      <c r="M21">
        <v>0.21</v>
      </c>
      <c r="N21">
        <v>71.459999999999994</v>
      </c>
      <c r="O21">
        <v>48.81</v>
      </c>
      <c r="P21">
        <v>30.51</v>
      </c>
      <c r="Q21">
        <v>3.02</v>
      </c>
      <c r="R21">
        <v>2.2799999999999998</v>
      </c>
      <c r="S21">
        <v>-115.42</v>
      </c>
      <c r="T21">
        <v>5.28</v>
      </c>
      <c r="U21">
        <v>1.86</v>
      </c>
      <c r="V21">
        <v>-19.7</v>
      </c>
      <c r="W21">
        <v>-12.7</v>
      </c>
      <c r="X21">
        <v>-12.78</v>
      </c>
      <c r="Y21">
        <v>345.37</v>
      </c>
      <c r="Z21">
        <v>188.63</v>
      </c>
      <c r="AA21">
        <v>155.97</v>
      </c>
      <c r="AB21">
        <v>-3.42</v>
      </c>
      <c r="AC21">
        <v>0.33</v>
      </c>
      <c r="AD21">
        <v>1.48</v>
      </c>
      <c r="AE21">
        <v>818.83</v>
      </c>
      <c r="AF21">
        <v>32.97</v>
      </c>
      <c r="AG21">
        <v>68.37</v>
      </c>
      <c r="AH21">
        <v>394.91</v>
      </c>
      <c r="AI21">
        <v>55.21</v>
      </c>
      <c r="AJ21">
        <v>42.24</v>
      </c>
      <c r="AK21">
        <v>8.77</v>
      </c>
      <c r="AL21">
        <v>11.97</v>
      </c>
      <c r="AM21">
        <v>43.86</v>
      </c>
      <c r="AN21">
        <v>1592954358.95</v>
      </c>
      <c r="AO21">
        <v>0.99</v>
      </c>
      <c r="AP21">
        <v>0</v>
      </c>
      <c r="AQ21">
        <v>1371470262</v>
      </c>
      <c r="AR21">
        <v>1371470262</v>
      </c>
      <c r="AS21">
        <v>0.5</v>
      </c>
      <c r="AT21" t="s">
        <v>127</v>
      </c>
      <c r="AU21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ColWidth="8.83203125" defaultRowHeight="14"/>
  <sheetData>
    <row r="1" spans="1:8">
      <c r="B1" s="1" t="s">
        <v>9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4</v>
      </c>
    </row>
    <row r="2" spans="1:8">
      <c r="A2" s="1" t="s">
        <v>128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s="1" t="s">
        <v>129</v>
      </c>
      <c r="B3">
        <v>19.02</v>
      </c>
      <c r="C3">
        <v>1139.52</v>
      </c>
      <c r="D3">
        <v>54.02</v>
      </c>
      <c r="E3">
        <v>0.3</v>
      </c>
      <c r="F3">
        <v>78.930000000000007</v>
      </c>
      <c r="G3">
        <v>49.15</v>
      </c>
      <c r="H3">
        <v>14.46</v>
      </c>
    </row>
    <row r="4" spans="1:8">
      <c r="A4" s="1" t="s">
        <v>130</v>
      </c>
    </row>
    <row r="5" spans="1:8">
      <c r="A5" s="1" t="s">
        <v>131</v>
      </c>
      <c r="B5">
        <v>19.02</v>
      </c>
      <c r="C5">
        <v>1139.52</v>
      </c>
      <c r="D5">
        <v>54.02</v>
      </c>
      <c r="E5">
        <v>0.3</v>
      </c>
      <c r="F5">
        <v>78.930000000000007</v>
      </c>
      <c r="G5">
        <v>49.15</v>
      </c>
      <c r="H5">
        <v>14.46</v>
      </c>
    </row>
    <row r="6" spans="1:8">
      <c r="A6" s="1" t="s">
        <v>132</v>
      </c>
      <c r="B6">
        <v>19.02</v>
      </c>
      <c r="C6">
        <v>1139.52</v>
      </c>
      <c r="D6">
        <v>54.02</v>
      </c>
      <c r="E6">
        <v>0.3</v>
      </c>
      <c r="F6">
        <v>78.930000000000007</v>
      </c>
      <c r="G6">
        <v>49.15</v>
      </c>
      <c r="H6">
        <v>14.46</v>
      </c>
    </row>
    <row r="7" spans="1:8">
      <c r="A7" s="1" t="s">
        <v>133</v>
      </c>
      <c r="B7">
        <v>19.02</v>
      </c>
      <c r="C7">
        <v>1139.52</v>
      </c>
      <c r="D7">
        <v>54.02</v>
      </c>
      <c r="E7">
        <v>0.3</v>
      </c>
      <c r="F7">
        <v>78.930000000000007</v>
      </c>
      <c r="G7">
        <v>49.15</v>
      </c>
      <c r="H7">
        <v>14.46</v>
      </c>
    </row>
    <row r="8" spans="1:8">
      <c r="A8" s="1" t="s">
        <v>134</v>
      </c>
      <c r="B8">
        <v>19.02</v>
      </c>
      <c r="C8">
        <v>1139.52</v>
      </c>
      <c r="D8">
        <v>54.02</v>
      </c>
      <c r="E8">
        <v>0.3</v>
      </c>
      <c r="F8">
        <v>78.930000000000007</v>
      </c>
      <c r="G8">
        <v>49.15</v>
      </c>
      <c r="H8">
        <v>14.46</v>
      </c>
    </row>
    <row r="9" spans="1:8">
      <c r="A9" s="1" t="s">
        <v>135</v>
      </c>
      <c r="B9">
        <v>19.02</v>
      </c>
      <c r="C9">
        <v>1139.52</v>
      </c>
      <c r="D9">
        <v>54.02</v>
      </c>
      <c r="E9">
        <v>0.3</v>
      </c>
      <c r="F9">
        <v>78.930000000000007</v>
      </c>
      <c r="G9">
        <v>49.15</v>
      </c>
      <c r="H9">
        <v>14.46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年化收益率≥15%股票</vt:lpstr>
      <vt:lpstr>全部分析股票</vt:lpstr>
      <vt:lpstr>高收益股票统计摘要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zengxiaochi</cp:lastModifiedBy>
  <dcterms:created xsi:type="dcterms:W3CDTF">2026-02-03T06:04:59Z</dcterms:created>
  <dcterms:modified xsi:type="dcterms:W3CDTF">2026-02-03T06:07:03Z</dcterms:modified>
</cp:coreProperties>
</file>